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Tarif" sheetId="2" state="visible" r:id="rId4"/>
    <sheet name="EMKL" sheetId="3" state="visible" r:id="rId5"/>
    <sheet name="DO" sheetId="4" state="visible" r:id="rId6"/>
    <sheet name="Kontainer" sheetId="5" state="visible" r:id="rId7"/>
    <sheet name="Log Notifikas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<sst xmlns="http://schemas.openxmlformats.org/spreadsheetml/2006/main" count="79" uniqueCount="68">
  <si>
    <t xml:space="preserve">S-GATE — DATABASE MASTER</t>
  </si>
  <si>
    <t xml:space="preserve">Struktur data ini mengikuti persis skema yang dipakai oleh prototipe web S-GATE (sgate-prototype.html).</t>
  </si>
  <si>
    <t xml:space="preserve">Isi tab</t>
  </si>
  <si>
    <t xml:space="preserve">Keterangan</t>
  </si>
  <si>
    <t xml:space="preserve">EMKL</t>
  </si>
  <si>
    <t xml:space="preserve">Daftar akun perusahaan EMKL (dipakai untuk login di Portal EMKL).</t>
  </si>
  <si>
    <t xml:space="preserve">DO</t>
  </si>
  <si>
    <t xml:space="preserve">Satu baris = satu DO. Kolom biaya kontainer &amp; BBM dihitung otomatis (rumus) dari tab Kontainer, mengikuti tarif di tab Tarif.</t>
  </si>
  <si>
    <t xml:space="preserve">Kontainer</t>
  </si>
  <si>
    <t xml:space="preserve">Satu baris = satu kontainer di dalam sebuah DO. Ukuran &amp; tipe kontainer inilah yang jadi acuan gate — tidak perlu dipilih ulang saat truk masuk.</t>
  </si>
  <si>
    <t xml:space="preserve">Tarif</t>
  </si>
  <si>
    <t xml:space="preserve">Tabel referensi tarif per ukuran kontainer. Ubah angka di sini untuk mengubah tarif di seluruh workbook.</t>
  </si>
  <si>
    <t xml:space="preserve">Log Notifikasi</t>
  </si>
  <si>
    <t xml:space="preserve">Riwayat notifikasi (reminder, mismatch, konfirmasi bayar) — sama seperti panel 'Log notifikasi' di dashboard admin.</t>
  </si>
  <si>
    <t xml:space="preserve">Cara menyambungkan ke web</t>
  </si>
  <si>
    <t xml:space="preserve">1.</t>
  </si>
  <si>
    <t xml:space="preserve">Buka prototipe web S-GATE → tab 'Dashboard admin gate'.</t>
  </si>
  <si>
    <t xml:space="preserve">2.</t>
  </si>
  <si>
    <t xml:space="preserve">Klik tombol 'Export ke Excel' di panel dashboard. File .xlsx akan terunduh dengan struktur tab yang SAMA PERSIS dengan workbook ini (EMKL, DO, Kontainer, Log Notifikasi).</t>
  </si>
  <si>
    <t xml:space="preserve">3.</t>
  </si>
  <si>
    <t xml:space="preserve">Salin baris-baris dari file hasil export tsb ke tab yang sesuai di workbook master ini (atau sebaliknya, gunakan workbook ini sebagai acuan saat isi data awal di web).</t>
  </si>
  <si>
    <t xml:space="preserve">Catatan</t>
  </si>
  <si>
    <t xml:space="preserve">Prototipe ini berjalan 100% di browser (tanpa server), jadi tidak ada sinkronisasi otomatis dua arah secara real-time. Export/import manual ini adalah cara paling aman untuk menjaga satu sumber data yang konsisten sampai ada backend sungguhan.</t>
  </si>
  <si>
    <t xml:space="preserve">Warna sel biru</t>
  </si>
  <si>
    <t xml:space="preserve">Sel yang boleh/perlu diisi manual.</t>
  </si>
  <si>
    <t xml:space="preserve">Warna sel kuning</t>
  </si>
  <si>
    <t xml:space="preserve">Sel yang wajib diisi sebelum baris dipakai (contoh baris) — hapus warnanya begitu sudah diisi data asli.</t>
  </si>
  <si>
    <t xml:space="preserve">Warna sel hitam</t>
  </si>
  <si>
    <t xml:space="preserve">Rumus — jangan ditimpa manual.</t>
  </si>
  <si>
    <t xml:space="preserve">Ukuran</t>
  </si>
  <si>
    <t xml:space="preserve">Biaya Kontainer (Rp)</t>
  </si>
  <si>
    <t xml:space="preserve">Biaya BBM (Rp)</t>
  </si>
  <si>
    <t xml:space="preserve">20'</t>
  </si>
  <si>
    <t xml:space="preserve">40'</t>
  </si>
  <si>
    <t xml:space="preserve">ID EMKL</t>
  </si>
  <si>
    <t xml:space="preserve">Nama Perusahaan</t>
  </si>
  <si>
    <t xml:space="preserve">Email</t>
  </si>
  <si>
    <t xml:space="preserve">No. HP/WhatsApp</t>
  </si>
  <si>
    <t xml:space="preserve">Universitas Dippnegoro</t>
  </si>
  <si>
    <t xml:space="preserve">admin@dippnegoro-cargo.co.id</t>
  </si>
  <si>
    <t xml:space="preserve">081234500001</t>
  </si>
  <si>
    <t xml:space="preserve">ID DO</t>
  </si>
  <si>
    <t xml:space="preserve">Nomor DO</t>
  </si>
  <si>
    <t xml:space="preserve">ETA</t>
  </si>
  <si>
    <t xml:space="preserve">Status Pembayaran</t>
  </si>
  <si>
    <t xml:space="preserve">Total Tagihan (Rp)</t>
  </si>
  <si>
    <t xml:space="preserve">DO-2607-0142</t>
  </si>
  <si>
    <t xml:space="preserve">Hari ini, 14:00</t>
  </si>
  <si>
    <t xml:space="preserve">Belum lunas</t>
  </si>
  <si>
    <t xml:space="preserve">ID Kontainer</t>
  </si>
  <si>
    <t xml:space="preserve">No. Kontainer</t>
  </si>
  <si>
    <t xml:space="preserve">Tipe</t>
  </si>
  <si>
    <t xml:space="preserve">Status Gate</t>
  </si>
  <si>
    <t xml:space="preserve">Waktu Masuk</t>
  </si>
  <si>
    <t xml:space="preserve">Kode Gate</t>
  </si>
  <si>
    <t xml:space="preserve">MSKU 220118 9</t>
  </si>
  <si>
    <t xml:space="preserve">Dry</t>
  </si>
  <si>
    <t xml:space="preserve">Menunggu</t>
  </si>
  <si>
    <t xml:space="preserve">GP-0001</t>
  </si>
  <si>
    <t xml:space="preserve">Waktu</t>
  </si>
  <si>
    <t xml:space="preserve">Jenis</t>
  </si>
  <si>
    <t xml:space="preserve">Judul</t>
  </si>
  <si>
    <t xml:space="preserve">Deskripsi</t>
  </si>
  <si>
    <t xml:space="preserve">Nomor DO Terkait</t>
  </si>
  <si>
    <t xml:space="preserve">09:28</t>
  </si>
  <si>
    <t xml:space="preserve">Mismatch</t>
  </si>
  <si>
    <t xml:space="preserve">Mismatch terdeteksi</t>
  </si>
  <si>
    <t xml:space="preserve">Fisik "TCLU 771205 4" tidak cocok dengan DO DO-2607-142 (MSKU 220118 9)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</si>
</sst>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73D30"/>
      <name val="Arial"/>
      <family val="0"/>
      <charset val="1"/>
    </font>
    <font>
      <sz val="10"/>
      <color rgb="FF0D2B26"/>
      <name val="Arial"/>
      <family val="0"/>
      <charset val="1"/>
    </font>
    <font>
      <sz val="10"/>
      <color rgb="FF073D30"/>
      <name val="Arial"/>
      <family val="0"/>
      <charset val="1"/>
    </font>
    <font>
      <b val="true"/>
      <sz val="10"/>
      <color rgb="FF073D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D2B2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73D30"/>
        <bgColor rgb="FF0D2B2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7C2"/>
      </left>
      <right style="thin">
        <color rgb="FFB7C7C2"/>
      </right>
      <top style="thin">
        <color rgb="FFB7C7C2"/>
      </top>
      <bottom style="thin">
        <color rgb="FFB7C7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7C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73D30"/>
      <rgbColor rgb="FF339966"/>
      <rgbColor rgb="FF0D2B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3.5" hidden="false" customHeight="true" outlineLevel="0" collapsed="false">
      <c r="B5" s="2"/>
      <c r="C5" s="3"/>
    </row>
    <row r="6" customFormat="false" ht="30" hidden="false" customHeight="true" outlineLevel="0" collapsed="false">
      <c r="B6" s="4" t="s">
        <v>2</v>
      </c>
      <c r="C6" s="3" t="s">
        <v>3</v>
      </c>
    </row>
    <row r="7" customFormat="false" ht="30" hidden="false" customHeight="true" outlineLevel="0" collapsed="false">
      <c r="B7" s="2" t="s">
        <v>4</v>
      </c>
      <c r="C7" s="3" t="s">
        <v>5</v>
      </c>
    </row>
    <row r="8" customFormat="false" ht="30" hidden="false" customHeight="true" outlineLevel="0" collapsed="false">
      <c r="B8" s="2" t="s">
        <v>6</v>
      </c>
      <c r="C8" s="3" t="s">
        <v>7</v>
      </c>
    </row>
    <row r="9" customFormat="false" ht="30" hidden="false" customHeight="true" outlineLevel="0" collapsed="false">
      <c r="B9" s="2" t="s">
        <v>8</v>
      </c>
      <c r="C9" s="3" t="s">
        <v>9</v>
      </c>
    </row>
    <row r="10" customFormat="false" ht="30" hidden="false" customHeight="true" outlineLevel="0" collapsed="false">
      <c r="B10" s="2" t="s">
        <v>10</v>
      </c>
      <c r="C10" s="3" t="s">
        <v>11</v>
      </c>
    </row>
    <row r="11" customFormat="false" ht="30" hidden="false" customHeight="true" outlineLevel="0" collapsed="false">
      <c r="B11" s="2" t="s">
        <v>12</v>
      </c>
      <c r="C11" s="3" t="s">
        <v>13</v>
      </c>
    </row>
    <row r="12" customFormat="false" ht="13.5" hidden="false" customHeight="true" outlineLevel="0" collapsed="false">
      <c r="B12" s="2"/>
      <c r="C12" s="3"/>
    </row>
    <row r="13" customFormat="false" ht="13.5" hidden="false" customHeight="true" outlineLevel="0" collapsed="false">
      <c r="B13" s="5" t="s">
        <v>14</v>
      </c>
      <c r="C13" s="3"/>
    </row>
    <row r="14" customFormat="false" ht="30" hidden="false" customHeight="true" outlineLevel="0" collapsed="false">
      <c r="B14" s="2" t="s">
        <v>15</v>
      </c>
      <c r="C14" s="3" t="s">
        <v>16</v>
      </c>
    </row>
    <row r="15" customFormat="false" ht="30" hidden="false" customHeight="true" outlineLevel="0" collapsed="false">
      <c r="B15" s="2" t="s">
        <v>17</v>
      </c>
      <c r="C15" s="3" t="s">
        <v>18</v>
      </c>
    </row>
    <row r="16" customFormat="false" ht="30" hidden="false" customHeight="true" outlineLevel="0" collapsed="false">
      <c r="B16" s="2" t="s">
        <v>19</v>
      </c>
      <c r="C16" s="3" t="s">
        <v>20</v>
      </c>
    </row>
    <row r="17" customFormat="false" ht="13.5" hidden="false" customHeight="true" outlineLevel="0" collapsed="false">
      <c r="B17" s="2"/>
      <c r="C17" s="3"/>
    </row>
    <row r="18" customFormat="false" ht="30" hidden="false" customHeight="true" outlineLevel="0" collapsed="false">
      <c r="B18" s="2" t="s">
        <v>21</v>
      </c>
      <c r="C18" s="3" t="s">
        <v>22</v>
      </c>
    </row>
    <row r="19" customFormat="false" ht="30" hidden="false" customHeight="true" outlineLevel="0" collapsed="false">
      <c r="B19" s="2" t="s">
        <v>23</v>
      </c>
      <c r="C19" s="3" t="s">
        <v>24</v>
      </c>
    </row>
    <row r="20" customFormat="false" ht="30" hidden="false" customHeight="true" outlineLevel="0" collapsed="false">
      <c r="B20" s="2" t="s">
        <v>25</v>
      </c>
      <c r="C20" s="3" t="s">
        <v>26</v>
      </c>
    </row>
    <row r="21" customFormat="false" ht="30" hidden="false" customHeight="true" outlineLevel="0" collapsed="false">
      <c r="B21" s="2" t="s">
        <v>27</v>
      </c>
      <c r="C21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6" t="s">
        <v>29</v>
      </c>
      <c r="B1" s="6" t="s">
        <v>30</v>
      </c>
      <c r="C1" s="6" t="s">
        <v>31</v>
      </c>
    </row>
    <row r="2" customFormat="false" ht="15" hidden="false" customHeight="false" outlineLevel="0" collapsed="false">
      <c r="A2" s="7" t="s">
        <v>32</v>
      </c>
      <c r="B2" s="8" t="n">
        <v>350000</v>
      </c>
      <c r="C2" s="8" t="n">
        <v>150000</v>
      </c>
    </row>
    <row r="3" customFormat="false" ht="15" hidden="false" customHeight="false" outlineLevel="0" collapsed="false">
      <c r="A3" s="7" t="s">
        <v>33</v>
      </c>
      <c r="B3" s="8" t="n">
        <v>500000</v>
      </c>
      <c r="C3" s="8" t="n">
        <v>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6" t="s">
        <v>34</v>
      </c>
      <c r="B1" s="6" t="s">
        <v>35</v>
      </c>
      <c r="C1" s="6" t="s">
        <v>36</v>
      </c>
      <c r="D1" s="6" t="s">
        <v>37</v>
      </c>
    </row>
    <row r="2" customFormat="false" ht="15" hidden="false" customHeight="false" outlineLevel="0" collapsed="false">
      <c r="A2" s="9" t="n">
        <v>1</v>
      </c>
      <c r="B2" s="9" t="s">
        <v>38</v>
      </c>
      <c r="C2" s="9" t="s">
        <v>39</v>
      </c>
      <c r="D2" s="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6"/>
  </cols>
  <sheetData>
    <row r="1" customFormat="false" ht="23.85" hidden="false" customHeight="false" outlineLevel="0" collapsed="false">
      <c r="A1" s="6" t="s">
        <v>41</v>
      </c>
      <c r="B1" s="6" t="s">
        <v>42</v>
      </c>
      <c r="C1" s="6" t="s">
        <v>4</v>
      </c>
      <c r="D1" s="6" t="s">
        <v>43</v>
      </c>
      <c r="E1" s="6" t="s">
        <v>44</v>
      </c>
      <c r="F1" s="6" t="s">
        <v>30</v>
      </c>
      <c r="G1" s="6" t="s">
        <v>31</v>
      </c>
      <c r="H1" s="6" t="s">
        <v>45</v>
      </c>
    </row>
    <row r="2" customFormat="false" ht="15" hidden="false" customHeight="false" outlineLevel="0" collapsed="false">
      <c r="A2" s="9" t="n">
        <v>1</v>
      </c>
      <c r="B2" s="9" t="s">
        <v>46</v>
      </c>
      <c r="C2" s="9" t="s">
        <v>38</v>
      </c>
      <c r="D2" s="9" t="s">
        <v>47</v>
      </c>
      <c r="E2" s="9" t="s">
        <v>48</v>
      </c>
      <c r="F2" s="10" t="n">
        <f aca="false">SUMIFS(Kontainer!I:I,Kontainer!B:B,B2)</f>
        <v>500000</v>
      </c>
      <c r="G2" s="10" t="n">
        <f aca="false">SUMIFS(Kontainer!J:J,Kontainer!B:B,B2)</f>
        <v>200000</v>
      </c>
      <c r="H2" s="11" t="n">
        <f aca="false">F2+G2</f>
        <v>700000</v>
      </c>
    </row>
    <row r="3" customFormat="false" ht="15" hidden="false" customHeight="false" outlineLevel="0" collapsed="false">
      <c r="F3" s="10" t="n">
        <f aca="false">SUMIFS(Kontainer!I:I,Kontainer!B:B,B3)</f>
        <v>0</v>
      </c>
      <c r="G3" s="10" t="n">
        <f aca="false">SUMIFS(Kontainer!J:J,Kontainer!B:B,B3)</f>
        <v>0</v>
      </c>
      <c r="H3" s="11" t="n">
        <f aca="false">F3+G3</f>
        <v>0</v>
      </c>
    </row>
    <row r="4" customFormat="false" ht="15" hidden="false" customHeight="false" outlineLevel="0" collapsed="false">
      <c r="F4" s="10" t="n">
        <f aca="false">SUMIFS(Kontainer!I:I,Kontainer!B:B,B4)</f>
        <v>0</v>
      </c>
      <c r="G4" s="10" t="n">
        <f aca="false">SUMIFS(Kontainer!J:J,Kontainer!B:B,B4)</f>
        <v>0</v>
      </c>
      <c r="H4" s="11" t="n">
        <f aca="false">F4+G4</f>
        <v>0</v>
      </c>
    </row>
    <row r="5" customFormat="false" ht="15" hidden="false" customHeight="false" outlineLevel="0" collapsed="false">
      <c r="F5" s="10" t="n">
        <f aca="false">SUMIFS(Kontainer!I:I,Kontainer!B:B,B5)</f>
        <v>0</v>
      </c>
      <c r="G5" s="10" t="n">
        <f aca="false">SUMIFS(Kontainer!J:J,Kontainer!B:B,B5)</f>
        <v>0</v>
      </c>
      <c r="H5" s="11" t="n">
        <f aca="false">F5+G5</f>
        <v>0</v>
      </c>
    </row>
    <row r="6" customFormat="false" ht="15" hidden="false" customHeight="false" outlineLevel="0" collapsed="false">
      <c r="F6" s="10" t="n">
        <f aca="false">SUMIFS(Kontainer!I:I,Kontainer!B:B,B6)</f>
        <v>0</v>
      </c>
      <c r="G6" s="10" t="n">
        <f aca="false">SUMIFS(Kontainer!J:J,Kontainer!B:B,B6)</f>
        <v>0</v>
      </c>
      <c r="H6" s="11" t="n">
        <f aca="false">F6+G6</f>
        <v>0</v>
      </c>
    </row>
    <row r="7" customFormat="false" ht="15" hidden="false" customHeight="false" outlineLevel="0" collapsed="false">
      <c r="F7" s="10" t="n">
        <f aca="false">SUMIFS(Kontainer!I:I,Kontainer!B:B,B7)</f>
        <v>0</v>
      </c>
      <c r="G7" s="10" t="n">
        <f aca="false">SUMIFS(Kontainer!J:J,Kontainer!B:B,B7)</f>
        <v>0</v>
      </c>
      <c r="H7" s="11" t="n">
        <f aca="false">F7+G7</f>
        <v>0</v>
      </c>
    </row>
    <row r="8" customFormat="false" ht="15" hidden="false" customHeight="false" outlineLevel="0" collapsed="false">
      <c r="F8" s="10" t="n">
        <f aca="false">SUMIFS(Kontainer!I:I,Kontainer!B:B,B8)</f>
        <v>0</v>
      </c>
      <c r="G8" s="10" t="n">
        <f aca="false">SUMIFS(Kontainer!J:J,Kontainer!B:B,B8)</f>
        <v>0</v>
      </c>
      <c r="H8" s="11" t="n">
        <f aca="false">F8+G8</f>
        <v>0</v>
      </c>
    </row>
    <row r="9" customFormat="false" ht="15" hidden="false" customHeight="false" outlineLevel="0" collapsed="false">
      <c r="F9" s="10" t="n">
        <f aca="false">SUMIFS(Kontainer!I:I,Kontainer!B:B,B9)</f>
        <v>0</v>
      </c>
      <c r="G9" s="10" t="n">
        <f aca="false">SUMIFS(Kontainer!J:J,Kontainer!B:B,B9)</f>
        <v>0</v>
      </c>
      <c r="H9" s="11" t="n">
        <f aca="false">F9+G9</f>
        <v>0</v>
      </c>
    </row>
    <row r="10" customFormat="false" ht="15" hidden="false" customHeight="false" outlineLevel="0" collapsed="false">
      <c r="F10" s="10" t="n">
        <f aca="false">SUMIFS(Kontainer!I:I,Kontainer!B:B,B10)</f>
        <v>0</v>
      </c>
      <c r="G10" s="10" t="n">
        <f aca="false">SUMIFS(Kontainer!J:J,Kontainer!B:B,B10)</f>
        <v>0</v>
      </c>
      <c r="H10" s="11" t="n">
        <f aca="false">F10+G10</f>
        <v>0</v>
      </c>
    </row>
    <row r="11" customFormat="false" ht="15" hidden="false" customHeight="false" outlineLevel="0" collapsed="false">
      <c r="F11" s="10" t="n">
        <f aca="false">SUMIFS(Kontainer!I:I,Kontainer!B:B,B11)</f>
        <v>0</v>
      </c>
      <c r="G11" s="10" t="n">
        <f aca="false">SUMIFS(Kontainer!J:J,Kontainer!B:B,B11)</f>
        <v>0</v>
      </c>
      <c r="H11" s="11" t="n">
        <f aca="false">F11+G11</f>
        <v>0</v>
      </c>
    </row>
    <row r="12" customFormat="false" ht="15" hidden="false" customHeight="false" outlineLevel="0" collapsed="false">
      <c r="F12" s="10" t="n">
        <f aca="false">SUMIFS(Kontainer!I:I,Kontainer!B:B,B12)</f>
        <v>0</v>
      </c>
      <c r="G12" s="10" t="n">
        <f aca="false">SUMIFS(Kontainer!J:J,Kontainer!B:B,B12)</f>
        <v>0</v>
      </c>
      <c r="H12" s="11" t="n">
        <f aca="false">F12+G12</f>
        <v>0</v>
      </c>
    </row>
    <row r="13" customFormat="false" ht="15" hidden="false" customHeight="false" outlineLevel="0" collapsed="false">
      <c r="F13" s="10" t="n">
        <f aca="false">SUMIFS(Kontainer!I:I,Kontainer!B:B,B13)</f>
        <v>0</v>
      </c>
      <c r="G13" s="10" t="n">
        <f aca="false">SUMIFS(Kontainer!J:J,Kontainer!B:B,B13)</f>
        <v>0</v>
      </c>
      <c r="H13" s="11" t="n">
        <f aca="false">F13+G13</f>
        <v>0</v>
      </c>
    </row>
    <row r="14" customFormat="false" ht="15" hidden="false" customHeight="false" outlineLevel="0" collapsed="false">
      <c r="F14" s="10" t="n">
        <f aca="false">SUMIFS(Kontainer!I:I,Kontainer!B:B,B14)</f>
        <v>0</v>
      </c>
      <c r="G14" s="10" t="n">
        <f aca="false">SUMIFS(Kontainer!J:J,Kontainer!B:B,B14)</f>
        <v>0</v>
      </c>
      <c r="H14" s="11" t="n">
        <f aca="false">F14+G14</f>
        <v>0</v>
      </c>
    </row>
    <row r="15" customFormat="false" ht="15" hidden="false" customHeight="false" outlineLevel="0" collapsed="false">
      <c r="F15" s="10" t="n">
        <f aca="false">SUMIFS(Kontainer!I:I,Kontainer!B:B,B15)</f>
        <v>0</v>
      </c>
      <c r="G15" s="10" t="n">
        <f aca="false">SUMIFS(Kontainer!J:J,Kontainer!B:B,B15)</f>
        <v>0</v>
      </c>
      <c r="H15" s="11" t="n">
        <f aca="false">F15+G15</f>
        <v>0</v>
      </c>
    </row>
    <row r="16" customFormat="false" ht="15" hidden="false" customHeight="false" outlineLevel="0" collapsed="false">
      <c r="F16" s="10" t="n">
        <f aca="false">SUMIFS(Kontainer!I:I,Kontainer!B:B,B16)</f>
        <v>0</v>
      </c>
      <c r="G16" s="10" t="n">
        <f aca="false">SUMIFS(Kontainer!J:J,Kontainer!B:B,B16)</f>
        <v>0</v>
      </c>
      <c r="H16" s="11" t="n">
        <f aca="false">F16+G16</f>
        <v>0</v>
      </c>
    </row>
    <row r="17" customFormat="false" ht="15" hidden="false" customHeight="false" outlineLevel="0" collapsed="false">
      <c r="F17" s="10" t="n">
        <f aca="false">SUMIFS(Kontainer!I:I,Kontainer!B:B,B17)</f>
        <v>0</v>
      </c>
      <c r="G17" s="10" t="n">
        <f aca="false">SUMIFS(Kontainer!J:J,Kontainer!B:B,B17)</f>
        <v>0</v>
      </c>
      <c r="H17" s="11" t="n">
        <f aca="false">F17+G17</f>
        <v>0</v>
      </c>
    </row>
    <row r="18" customFormat="false" ht="15" hidden="false" customHeight="false" outlineLevel="0" collapsed="false">
      <c r="F18" s="10" t="n">
        <f aca="false">SUMIFS(Kontainer!I:I,Kontainer!B:B,B18)</f>
        <v>0</v>
      </c>
      <c r="G18" s="10" t="n">
        <f aca="false">SUMIFS(Kontainer!J:J,Kontainer!B:B,B18)</f>
        <v>0</v>
      </c>
      <c r="H18" s="11" t="n">
        <f aca="false">F18+G18</f>
        <v>0</v>
      </c>
    </row>
    <row r="19" customFormat="false" ht="15" hidden="false" customHeight="false" outlineLevel="0" collapsed="false">
      <c r="F19" s="10" t="n">
        <f aca="false">SUMIFS(Kontainer!I:I,Kontainer!B:B,B19)</f>
        <v>0</v>
      </c>
      <c r="G19" s="10" t="n">
        <f aca="false">SUMIFS(Kontainer!J:J,Kontainer!B:B,B19)</f>
        <v>0</v>
      </c>
      <c r="H19" s="11" t="n">
        <f aca="false">F19+G19</f>
        <v>0</v>
      </c>
    </row>
    <row r="20" customFormat="false" ht="15" hidden="false" customHeight="false" outlineLevel="0" collapsed="false">
      <c r="F20" s="10" t="n">
        <f aca="false">SUMIFS(Kontainer!I:I,Kontainer!B:B,B20)</f>
        <v>0</v>
      </c>
      <c r="G20" s="10" t="n">
        <f aca="false">SUMIFS(Kontainer!J:J,Kontainer!B:B,B20)</f>
        <v>0</v>
      </c>
      <c r="H20" s="11" t="n">
        <f aca="false">F20+G20</f>
        <v>0</v>
      </c>
    </row>
    <row r="21" customFormat="false" ht="15" hidden="false" customHeight="false" outlineLevel="0" collapsed="false">
      <c r="F21" s="10" t="n">
        <f aca="false">SUMIFS(Kontainer!I:I,Kontainer!B:B,B21)</f>
        <v>0</v>
      </c>
      <c r="G21" s="10" t="n">
        <f aca="false">SUMIFS(Kontainer!J:J,Kontainer!B:B,B21)</f>
        <v>0</v>
      </c>
      <c r="H21" s="11" t="n">
        <f aca="false">F21+G21</f>
        <v>0</v>
      </c>
    </row>
    <row r="22" customFormat="false" ht="15" hidden="false" customHeight="false" outlineLevel="0" collapsed="false">
      <c r="F22" s="10" t="n">
        <f aca="false">SUMIFS(Kontainer!I:I,Kontainer!B:B,B22)</f>
        <v>0</v>
      </c>
      <c r="G22" s="10" t="n">
        <f aca="false">SUMIFS(Kontainer!J:J,Kontainer!B:B,B22)</f>
        <v>0</v>
      </c>
      <c r="H22" s="11" t="n">
        <f aca="false">F22+G22</f>
        <v>0</v>
      </c>
    </row>
    <row r="23" customFormat="false" ht="15" hidden="false" customHeight="false" outlineLevel="0" collapsed="false">
      <c r="F23" s="10" t="n">
        <f aca="false">SUMIFS(Kontainer!I:I,Kontainer!B:B,B23)</f>
        <v>0</v>
      </c>
      <c r="G23" s="10" t="n">
        <f aca="false">SUMIFS(Kontainer!J:J,Kontainer!B:B,B23)</f>
        <v>0</v>
      </c>
      <c r="H23" s="11" t="n">
        <f aca="false">F23+G23</f>
        <v>0</v>
      </c>
    </row>
    <row r="24" customFormat="false" ht="15" hidden="false" customHeight="false" outlineLevel="0" collapsed="false">
      <c r="F24" s="10" t="n">
        <f aca="false">SUMIFS(Kontainer!I:I,Kontainer!B:B,B24)</f>
        <v>0</v>
      </c>
      <c r="G24" s="10" t="n">
        <f aca="false">SUMIFS(Kontainer!J:J,Kontainer!B:B,B24)</f>
        <v>0</v>
      </c>
      <c r="H24" s="11" t="n">
        <f aca="false">F24+G24</f>
        <v>0</v>
      </c>
    </row>
    <row r="25" customFormat="false" ht="15" hidden="false" customHeight="false" outlineLevel="0" collapsed="false">
      <c r="F25" s="10" t="n">
        <f aca="false">SUMIFS(Kontainer!I:I,Kontainer!B:B,B25)</f>
        <v>0</v>
      </c>
      <c r="G25" s="10" t="n">
        <f aca="false">SUMIFS(Kontainer!J:J,Kontainer!B:B,B25)</f>
        <v>0</v>
      </c>
      <c r="H25" s="11" t="n">
        <f aca="false">F25+G25</f>
        <v>0</v>
      </c>
    </row>
    <row r="26" customFormat="false" ht="15" hidden="false" customHeight="false" outlineLevel="0" collapsed="false">
      <c r="F26" s="10" t="n">
        <f aca="false">SUMIFS(Kontainer!I:I,Kontainer!B:B,B26)</f>
        <v>0</v>
      </c>
      <c r="G26" s="10" t="n">
        <f aca="false">SUMIFS(Kontainer!J:J,Kontainer!B:B,B26)</f>
        <v>0</v>
      </c>
      <c r="H26" s="11" t="n">
        <f aca="false">F26+G26</f>
        <v>0</v>
      </c>
    </row>
    <row r="27" customFormat="false" ht="15" hidden="false" customHeight="false" outlineLevel="0" collapsed="false">
      <c r="F27" s="10" t="n">
        <f aca="false">SUMIFS(Kontainer!I:I,Kontainer!B:B,B27)</f>
        <v>0</v>
      </c>
      <c r="G27" s="10" t="n">
        <f aca="false">SUMIFS(Kontainer!J:J,Kontainer!B:B,B27)</f>
        <v>0</v>
      </c>
      <c r="H27" s="11" t="n">
        <f aca="false">F27+G27</f>
        <v>0</v>
      </c>
    </row>
    <row r="28" customFormat="false" ht="15" hidden="false" customHeight="false" outlineLevel="0" collapsed="false">
      <c r="F28" s="10" t="n">
        <f aca="false">SUMIFS(Kontainer!I:I,Kontainer!B:B,B28)</f>
        <v>0</v>
      </c>
      <c r="G28" s="10" t="n">
        <f aca="false">SUMIFS(Kontainer!J:J,Kontainer!B:B,B28)</f>
        <v>0</v>
      </c>
      <c r="H28" s="11" t="n">
        <f aca="false">F28+G28</f>
        <v>0</v>
      </c>
    </row>
    <row r="29" customFormat="false" ht="15" hidden="false" customHeight="false" outlineLevel="0" collapsed="false">
      <c r="F29" s="10" t="n">
        <f aca="false">SUMIFS(Kontainer!I:I,Kontainer!B:B,B29)</f>
        <v>0</v>
      </c>
      <c r="G29" s="10" t="n">
        <f aca="false">SUMIFS(Kontainer!J:J,Kontainer!B:B,B29)</f>
        <v>0</v>
      </c>
      <c r="H29" s="11" t="n">
        <f aca="false">F29+G29</f>
        <v>0</v>
      </c>
    </row>
    <row r="30" customFormat="false" ht="15" hidden="false" customHeight="false" outlineLevel="0" collapsed="false">
      <c r="F30" s="10" t="n">
        <f aca="false">SUMIFS(Kontainer!I:I,Kontainer!B:B,B30)</f>
        <v>0</v>
      </c>
      <c r="G30" s="10" t="n">
        <f aca="false">SUMIFS(Kontainer!J:J,Kontainer!B:B,B30)</f>
        <v>0</v>
      </c>
      <c r="H30" s="11" t="n">
        <f aca="false">F30+G30</f>
        <v>0</v>
      </c>
    </row>
  </sheetData>
  <dataValidations count="1">
    <dataValidation allowBlank="true" errorStyle="stop" operator="between" showDropDown="false" showErrorMessage="false" showInputMessage="false" sqref="E2:E500" type="list">
      <formula1>"Belum lunas,Lunas"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23.85" hidden="false" customHeight="false" outlineLevel="0" collapsed="false">
      <c r="A1" s="6" t="s">
        <v>49</v>
      </c>
      <c r="B1" s="6" t="s">
        <v>42</v>
      </c>
      <c r="C1" s="6" t="s">
        <v>50</v>
      </c>
      <c r="D1" s="6" t="s">
        <v>29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30</v>
      </c>
      <c r="J1" s="6" t="s">
        <v>31</v>
      </c>
    </row>
    <row r="2" customFormat="false" ht="15" hidden="false" customHeight="false" outlineLevel="0" collapsed="false">
      <c r="A2" s="9" t="n">
        <v>1</v>
      </c>
      <c r="B2" s="9" t="s">
        <v>46</v>
      </c>
      <c r="C2" s="9" t="s">
        <v>55</v>
      </c>
      <c r="D2" s="9" t="s">
        <v>33</v>
      </c>
      <c r="E2" s="9" t="s">
        <v>56</v>
      </c>
      <c r="F2" s="9" t="s">
        <v>57</v>
      </c>
      <c r="G2" s="9"/>
      <c r="H2" s="9" t="s">
        <v>58</v>
      </c>
      <c r="I2" s="10" t="n">
        <f aca="false">INDEX(Tarif!$B$2:$B$3,MATCH(D2,Tarif!$A$2:$A$3,0))</f>
        <v>500000</v>
      </c>
      <c r="J2" s="10" t="n">
        <f aca="false">INDEX(Tarif!$C$2:$C$3,MATCH(D2,Tarif!$A$2:$A$3,0))</f>
        <v>200000</v>
      </c>
    </row>
    <row r="3" customFormat="false" ht="15" hidden="false" customHeight="false" outlineLevel="0" collapsed="false">
      <c r="I3" s="10" t="str">
        <f aca="false">IFERROR(INDEX(Tarif!$B$2:$B$3,MATCH(D3,Tarif!$A$2:$A$3,0)),"")</f>
        <v/>
      </c>
      <c r="J3" s="10" t="str">
        <f aca="false">IFERROR(INDEX(Tarif!$C$2:$C$3,MATCH(D3,Tarif!$A$2:$A$3,0)),"")</f>
        <v/>
      </c>
    </row>
    <row r="4" customFormat="false" ht="15" hidden="false" customHeight="false" outlineLevel="0" collapsed="false">
      <c r="I4" s="10" t="str">
        <f aca="false">IFERROR(INDEX(Tarif!$B$2:$B$3,MATCH(D4,Tarif!$A$2:$A$3,0)),"")</f>
        <v/>
      </c>
      <c r="J4" s="10" t="str">
        <f aca="false">IFERROR(INDEX(Tarif!$C$2:$C$3,MATCH(D4,Tarif!$A$2:$A$3,0)),"")</f>
        <v/>
      </c>
    </row>
    <row r="5" customFormat="false" ht="15" hidden="false" customHeight="false" outlineLevel="0" collapsed="false">
      <c r="I5" s="10" t="str">
        <f aca="false">IFERROR(INDEX(Tarif!$B$2:$B$3,MATCH(D5,Tarif!$A$2:$A$3,0)),"")</f>
        <v/>
      </c>
      <c r="J5" s="10" t="str">
        <f aca="false">IFERROR(INDEX(Tarif!$C$2:$C$3,MATCH(D5,Tarif!$A$2:$A$3,0)),"")</f>
        <v/>
      </c>
    </row>
    <row r="6" customFormat="false" ht="15" hidden="false" customHeight="false" outlineLevel="0" collapsed="false">
      <c r="I6" s="10" t="str">
        <f aca="false">IFERROR(INDEX(Tarif!$B$2:$B$3,MATCH(D6,Tarif!$A$2:$A$3,0)),"")</f>
        <v/>
      </c>
      <c r="J6" s="10" t="str">
        <f aca="false">IFERROR(INDEX(Tarif!$C$2:$C$3,MATCH(D6,Tarif!$A$2:$A$3,0)),"")</f>
        <v/>
      </c>
    </row>
    <row r="7" customFormat="false" ht="15" hidden="false" customHeight="false" outlineLevel="0" collapsed="false">
      <c r="I7" s="10" t="str">
        <f aca="false">IFERROR(INDEX(Tarif!$B$2:$B$3,MATCH(D7,Tarif!$A$2:$A$3,0)),"")</f>
        <v/>
      </c>
      <c r="J7" s="10" t="str">
        <f aca="false">IFERROR(INDEX(Tarif!$C$2:$C$3,MATCH(D7,Tarif!$A$2:$A$3,0)),"")</f>
        <v/>
      </c>
    </row>
    <row r="8" customFormat="false" ht="15" hidden="false" customHeight="false" outlineLevel="0" collapsed="false">
      <c r="I8" s="10" t="str">
        <f aca="false">IFERROR(INDEX(Tarif!$B$2:$B$3,MATCH(D8,Tarif!$A$2:$A$3,0)),"")</f>
        <v/>
      </c>
      <c r="J8" s="10" t="str">
        <f aca="false">IFERROR(INDEX(Tarif!$C$2:$C$3,MATCH(D8,Tarif!$A$2:$A$3,0)),"")</f>
        <v/>
      </c>
    </row>
    <row r="9" customFormat="false" ht="15" hidden="false" customHeight="false" outlineLevel="0" collapsed="false">
      <c r="I9" s="10" t="str">
        <f aca="false">IFERROR(INDEX(Tarif!$B$2:$B$3,MATCH(D9,Tarif!$A$2:$A$3,0)),"")</f>
        <v/>
      </c>
      <c r="J9" s="10" t="str">
        <f aca="false">IFERROR(INDEX(Tarif!$C$2:$C$3,MATCH(D9,Tarif!$A$2:$A$3,0)),"")</f>
        <v/>
      </c>
    </row>
    <row r="10" customFormat="false" ht="15" hidden="false" customHeight="false" outlineLevel="0" collapsed="false">
      <c r="I10" s="10" t="str">
        <f aca="false">IFERROR(INDEX(Tarif!$B$2:$B$3,MATCH(D10,Tarif!$A$2:$A$3,0)),"")</f>
        <v/>
      </c>
      <c r="J10" s="10" t="str">
        <f aca="false">IFERROR(INDEX(Tarif!$C$2:$C$3,MATCH(D10,Tarif!$A$2:$A$3,0)),"")</f>
        <v/>
      </c>
    </row>
    <row r="11" customFormat="false" ht="15" hidden="false" customHeight="false" outlineLevel="0" collapsed="false">
      <c r="I11" s="10" t="str">
        <f aca="false">IFERROR(INDEX(Tarif!$B$2:$B$3,MATCH(D11,Tarif!$A$2:$A$3,0)),"")</f>
        <v/>
      </c>
      <c r="J11" s="10" t="str">
        <f aca="false">IFERROR(INDEX(Tarif!$C$2:$C$3,MATCH(D11,Tarif!$A$2:$A$3,0)),"")</f>
        <v/>
      </c>
    </row>
    <row r="12" customFormat="false" ht="15" hidden="false" customHeight="false" outlineLevel="0" collapsed="false">
      <c r="I12" s="10" t="str">
        <f aca="false">IFERROR(INDEX(Tarif!$B$2:$B$3,MATCH(D12,Tarif!$A$2:$A$3,0)),"")</f>
        <v/>
      </c>
      <c r="J12" s="10" t="str">
        <f aca="false">IFERROR(INDEX(Tarif!$C$2:$C$3,MATCH(D12,Tarif!$A$2:$A$3,0)),"")</f>
        <v/>
      </c>
    </row>
    <row r="13" customFormat="false" ht="15" hidden="false" customHeight="false" outlineLevel="0" collapsed="false">
      <c r="I13" s="10" t="str">
        <f aca="false">IFERROR(INDEX(Tarif!$B$2:$B$3,MATCH(D13,Tarif!$A$2:$A$3,0)),"")</f>
        <v/>
      </c>
      <c r="J13" s="10" t="str">
        <f aca="false">IFERROR(INDEX(Tarif!$C$2:$C$3,MATCH(D13,Tarif!$A$2:$A$3,0)),"")</f>
        <v/>
      </c>
    </row>
    <row r="14" customFormat="false" ht="15" hidden="false" customHeight="false" outlineLevel="0" collapsed="false">
      <c r="I14" s="10" t="str">
        <f aca="false">IFERROR(INDEX(Tarif!$B$2:$B$3,MATCH(D14,Tarif!$A$2:$A$3,0)),"")</f>
        <v/>
      </c>
      <c r="J14" s="10" t="str">
        <f aca="false">IFERROR(INDEX(Tarif!$C$2:$C$3,MATCH(D14,Tarif!$A$2:$A$3,0)),"")</f>
        <v/>
      </c>
    </row>
    <row r="15" customFormat="false" ht="15" hidden="false" customHeight="false" outlineLevel="0" collapsed="false">
      <c r="I15" s="10" t="str">
        <f aca="false">IFERROR(INDEX(Tarif!$B$2:$B$3,MATCH(D15,Tarif!$A$2:$A$3,0)),"")</f>
        <v/>
      </c>
      <c r="J15" s="10" t="str">
        <f aca="false">IFERROR(INDEX(Tarif!$C$2:$C$3,MATCH(D15,Tarif!$A$2:$A$3,0)),"")</f>
        <v/>
      </c>
    </row>
    <row r="16" customFormat="false" ht="15" hidden="false" customHeight="false" outlineLevel="0" collapsed="false">
      <c r="I16" s="10" t="str">
        <f aca="false">IFERROR(INDEX(Tarif!$B$2:$B$3,MATCH(D16,Tarif!$A$2:$A$3,0)),"")</f>
        <v/>
      </c>
      <c r="J16" s="10" t="str">
        <f aca="false">IFERROR(INDEX(Tarif!$C$2:$C$3,MATCH(D16,Tarif!$A$2:$A$3,0)),"")</f>
        <v/>
      </c>
    </row>
    <row r="17" customFormat="false" ht="15" hidden="false" customHeight="false" outlineLevel="0" collapsed="false">
      <c r="I17" s="10" t="str">
        <f aca="false">IFERROR(INDEX(Tarif!$B$2:$B$3,MATCH(D17,Tarif!$A$2:$A$3,0)),"")</f>
        <v/>
      </c>
      <c r="J17" s="10" t="str">
        <f aca="false">IFERROR(INDEX(Tarif!$C$2:$C$3,MATCH(D17,Tarif!$A$2:$A$3,0)),"")</f>
        <v/>
      </c>
    </row>
    <row r="18" customFormat="false" ht="15" hidden="false" customHeight="false" outlineLevel="0" collapsed="false">
      <c r="I18" s="10" t="str">
        <f aca="false">IFERROR(INDEX(Tarif!$B$2:$B$3,MATCH(D18,Tarif!$A$2:$A$3,0)),"")</f>
        <v/>
      </c>
      <c r="J18" s="10" t="str">
        <f aca="false">IFERROR(INDEX(Tarif!$C$2:$C$3,MATCH(D18,Tarif!$A$2:$A$3,0)),"")</f>
        <v/>
      </c>
    </row>
    <row r="19" customFormat="false" ht="15" hidden="false" customHeight="false" outlineLevel="0" collapsed="false">
      <c r="I19" s="10" t="str">
        <f aca="false">IFERROR(INDEX(Tarif!$B$2:$B$3,MATCH(D19,Tarif!$A$2:$A$3,0)),"")</f>
        <v/>
      </c>
      <c r="J19" s="10" t="str">
        <f aca="false">IFERROR(INDEX(Tarif!$C$2:$C$3,MATCH(D19,Tarif!$A$2:$A$3,0)),"")</f>
        <v/>
      </c>
    </row>
    <row r="20" customFormat="false" ht="15" hidden="false" customHeight="false" outlineLevel="0" collapsed="false">
      <c r="I20" s="10" t="str">
        <f aca="false">IFERROR(INDEX(Tarif!$B$2:$B$3,MATCH(D20,Tarif!$A$2:$A$3,0)),"")</f>
        <v/>
      </c>
      <c r="J20" s="10" t="str">
        <f aca="false">IFERROR(INDEX(Tarif!$C$2:$C$3,MATCH(D20,Tarif!$A$2:$A$3,0)),"")</f>
        <v/>
      </c>
    </row>
    <row r="21" customFormat="false" ht="15" hidden="false" customHeight="false" outlineLevel="0" collapsed="false">
      <c r="I21" s="10" t="str">
        <f aca="false">IFERROR(INDEX(Tarif!$B$2:$B$3,MATCH(D21,Tarif!$A$2:$A$3,0)),"")</f>
        <v/>
      </c>
      <c r="J21" s="10" t="str">
        <f aca="false">IFERROR(INDEX(Tarif!$C$2:$C$3,MATCH(D21,Tarif!$A$2:$A$3,0)),"")</f>
        <v/>
      </c>
    </row>
    <row r="22" customFormat="false" ht="15" hidden="false" customHeight="false" outlineLevel="0" collapsed="false">
      <c r="I22" s="10" t="str">
        <f aca="false">IFERROR(INDEX(Tarif!$B$2:$B$3,MATCH(D22,Tarif!$A$2:$A$3,0)),"")</f>
        <v/>
      </c>
      <c r="J22" s="10" t="str">
        <f aca="false">IFERROR(INDEX(Tarif!$C$2:$C$3,MATCH(D22,Tarif!$A$2:$A$3,0)),"")</f>
        <v/>
      </c>
    </row>
    <row r="23" customFormat="false" ht="15" hidden="false" customHeight="false" outlineLevel="0" collapsed="false">
      <c r="I23" s="10" t="str">
        <f aca="false">IFERROR(INDEX(Tarif!$B$2:$B$3,MATCH(D23,Tarif!$A$2:$A$3,0)),"")</f>
        <v/>
      </c>
      <c r="J23" s="10" t="str">
        <f aca="false">IFERROR(INDEX(Tarif!$C$2:$C$3,MATCH(D23,Tarif!$A$2:$A$3,0)),"")</f>
        <v/>
      </c>
    </row>
    <row r="24" customFormat="false" ht="15" hidden="false" customHeight="false" outlineLevel="0" collapsed="false">
      <c r="I24" s="10" t="str">
        <f aca="false">IFERROR(INDEX(Tarif!$B$2:$B$3,MATCH(D24,Tarif!$A$2:$A$3,0)),"")</f>
        <v/>
      </c>
      <c r="J24" s="10" t="str">
        <f aca="false">IFERROR(INDEX(Tarif!$C$2:$C$3,MATCH(D24,Tarif!$A$2:$A$3,0)),"")</f>
        <v/>
      </c>
    </row>
    <row r="25" customFormat="false" ht="15" hidden="false" customHeight="false" outlineLevel="0" collapsed="false">
      <c r="I25" s="10" t="str">
        <f aca="false">IFERROR(INDEX(Tarif!$B$2:$B$3,MATCH(D25,Tarif!$A$2:$A$3,0)),"")</f>
        <v/>
      </c>
      <c r="J25" s="10" t="str">
        <f aca="false">IFERROR(INDEX(Tarif!$C$2:$C$3,MATCH(D25,Tarif!$A$2:$A$3,0)),"")</f>
        <v/>
      </c>
    </row>
    <row r="26" customFormat="false" ht="15" hidden="false" customHeight="false" outlineLevel="0" collapsed="false">
      <c r="I26" s="10" t="str">
        <f aca="false">IFERROR(INDEX(Tarif!$B$2:$B$3,MATCH(D26,Tarif!$A$2:$A$3,0)),"")</f>
        <v/>
      </c>
      <c r="J26" s="10" t="str">
        <f aca="false">IFERROR(INDEX(Tarif!$C$2:$C$3,MATCH(D26,Tarif!$A$2:$A$3,0)),"")</f>
        <v/>
      </c>
    </row>
    <row r="27" customFormat="false" ht="15" hidden="false" customHeight="false" outlineLevel="0" collapsed="false">
      <c r="I27" s="10" t="str">
        <f aca="false">IFERROR(INDEX(Tarif!$B$2:$B$3,MATCH(D27,Tarif!$A$2:$A$3,0)),"")</f>
        <v/>
      </c>
      <c r="J27" s="10" t="str">
        <f aca="false">IFERROR(INDEX(Tarif!$C$2:$C$3,MATCH(D27,Tarif!$A$2:$A$3,0)),"")</f>
        <v/>
      </c>
    </row>
    <row r="28" customFormat="false" ht="15" hidden="false" customHeight="false" outlineLevel="0" collapsed="false">
      <c r="I28" s="10" t="str">
        <f aca="false">IFERROR(INDEX(Tarif!$B$2:$B$3,MATCH(D28,Tarif!$A$2:$A$3,0)),"")</f>
        <v/>
      </c>
      <c r="J28" s="10" t="str">
        <f aca="false">IFERROR(INDEX(Tarif!$C$2:$C$3,MATCH(D28,Tarif!$A$2:$A$3,0)),"")</f>
        <v/>
      </c>
    </row>
    <row r="29" customFormat="false" ht="15" hidden="false" customHeight="false" outlineLevel="0" collapsed="false">
      <c r="I29" s="10" t="str">
        <f aca="false">IFERROR(INDEX(Tarif!$B$2:$B$3,MATCH(D29,Tarif!$A$2:$A$3,0)),"")</f>
        <v/>
      </c>
      <c r="J29" s="10" t="str">
        <f aca="false">IFERROR(INDEX(Tarif!$C$2:$C$3,MATCH(D29,Tarif!$A$2:$A$3,0)),"")</f>
        <v/>
      </c>
    </row>
    <row r="30" customFormat="false" ht="15" hidden="false" customHeight="false" outlineLevel="0" collapsed="false">
      <c r="I30" s="10" t="str">
        <f aca="false">IFERROR(INDEX(Tarif!$B$2:$B$3,MATCH(D30,Tarif!$A$2:$A$3,0)),"")</f>
        <v/>
      </c>
      <c r="J30" s="10" t="str">
        <f aca="false">IFERROR(INDEX(Tarif!$C$2:$C$3,MATCH(D30,Tarif!$A$2:$A$3,0)),"")</f>
        <v/>
      </c>
    </row>
  </sheetData>
  <dataValidations count="2">
    <dataValidation allowBlank="true" errorStyle="stop" operator="between" showDropDown="false" showErrorMessage="false" showInputMessage="false" sqref="D2:D500" type="list">
      <formula1>Tarif!$A$2:$A$3</formula1>
      <formula2>0</formula2>
    </dataValidation>
    <dataValidation allowBlank="true" errorStyle="stop" operator="between" showDropDown="false" showErrorMessage="false" showInputMessage="false" sqref="F2:F500" type="list">
      <formula1>"Menunggu,Valid,Mismatch"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59</v>
      </c>
      <c r="B1" s="6" t="s">
        <v>60</v>
      </c>
      <c r="C1" s="6" t="s">
        <v>61</v>
      </c>
      <c r="D1" s="6" t="s">
        <v>62</v>
      </c>
      <c r="E1" s="6" t="s">
        <v>63</v>
      </c>
    </row>
    <row r="2" customFormat="false" ht="15" hidden="false" customHeight="false" outlineLevel="0" collapsed="false">
      <c r="A2" s="9" t="s">
        <v>64</v>
      </c>
      <c r="B2" s="9" t="s">
        <v>65</v>
      </c>
      <c r="C2" s="9" t="s">
        <v>66</v>
      </c>
      <c r="D2" s="9" t="s">
        <v>67</v>
      </c>
      <c r="E2" s="9" t="s">
        <v>46</v>
      </c>
    </row>
  </sheetData>
  <dataValidations count="1">
    <dataValidation allowBlank="true" errorStyle="stop" operator="between" showDropDown="false" showErrorMessage="false" showInputMessage="false" sqref="B2:B500" type="list">
      <formula1>"Reminder,Mismatch,Valid,Pembayaran"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2026-07-24T03:02:35Z</dcterms:created>
  <dc:creator>openpyxl</dc:creator>
  <dc:description/>
  <dc:language>en-US</dc:language>
  <cp:lastModifiedBy/>
  <dcterms:modified xsi:type="dcterms:W3CDTF">2026-07-24T03:02:35Z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